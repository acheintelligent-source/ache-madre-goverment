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or" sheetId="1" state="visible" r:id="rId1"/>
    <sheet xmlns:r="http://schemas.openxmlformats.org/officeDocument/2006/relationships" name="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Ticker</t>
        </is>
      </c>
      <c r="C1" s="1" t="inlineStr">
        <is>
          <t>Weight %</t>
        </is>
      </c>
      <c r="D1" s="1" t="inlineStr">
        <is>
          <t>Capital USD</t>
        </is>
      </c>
      <c r="E1" s="1" t="inlineStr">
        <is>
          <t>Amount USD</t>
        </is>
      </c>
      <c r="F1" s="1" t="inlineStr">
        <is>
          <t>Notes</t>
        </is>
      </c>
    </row>
    <row r="2">
      <c r="A2" t="inlineStr">
        <is>
          <t>Dividend Core</t>
        </is>
      </c>
      <c r="B2" t="inlineStr">
        <is>
          <t>SCHD</t>
        </is>
      </c>
      <c r="C2" t="n">
        <v>0.3</v>
      </c>
      <c r="D2" t="inlineStr"/>
      <c r="E2">
        <f>C2*D2</f>
        <v/>
      </c>
      <c r="F2" t="inlineStr">
        <is>
          <t>Base stability</t>
        </is>
      </c>
    </row>
    <row r="3">
      <c r="A3" t="inlineStr">
        <is>
          <t>Semiconductors</t>
        </is>
      </c>
      <c r="B3" t="inlineStr">
        <is>
          <t>SMH</t>
        </is>
      </c>
      <c r="C3" t="n">
        <v>0.25</v>
      </c>
      <c r="D3" t="inlineStr"/>
      <c r="E3">
        <f>C3*D3</f>
        <v/>
      </c>
      <c r="F3" t="inlineStr">
        <is>
          <t>Growth engine</t>
        </is>
      </c>
    </row>
    <row r="4">
      <c r="A4" t="inlineStr">
        <is>
          <t>Energy</t>
        </is>
      </c>
      <c r="B4" t="inlineStr">
        <is>
          <t>XLE</t>
        </is>
      </c>
      <c r="C4" t="n">
        <v>0.2</v>
      </c>
      <c r="D4" t="inlineStr"/>
      <c r="E4">
        <f>C4*D4</f>
        <v/>
      </c>
      <c r="F4" t="inlineStr">
        <is>
          <t>Cash flow + geopolitics</t>
        </is>
      </c>
    </row>
    <row r="5">
      <c r="A5" t="inlineStr">
        <is>
          <t>Short Bonds</t>
        </is>
      </c>
      <c r="B5" t="inlineStr">
        <is>
          <t>SHY</t>
        </is>
      </c>
      <c r="C5" t="n">
        <v>0.15</v>
      </c>
      <c r="D5" t="inlineStr"/>
      <c r="E5">
        <f>C5*D5</f>
        <v/>
      </c>
      <c r="F5" t="inlineStr">
        <is>
          <t>Risk control</t>
        </is>
      </c>
    </row>
    <row r="6">
      <c r="A6" t="inlineStr">
        <is>
          <t>Gold</t>
        </is>
      </c>
      <c r="B6" t="inlineStr">
        <is>
          <t>IAU</t>
        </is>
      </c>
      <c r="C6" t="n">
        <v>0.1</v>
      </c>
      <c r="D6" t="inlineStr"/>
      <c r="E6">
        <f>C6*D6</f>
        <v/>
      </c>
      <c r="F6" t="inlineStr">
        <is>
          <t>Hedge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Ticker</t>
        </is>
      </c>
      <c r="C1" s="1" t="inlineStr">
        <is>
          <t>Current Price</t>
        </is>
      </c>
      <c r="D1" s="1" t="inlineStr">
        <is>
          <t>Last Month Price</t>
        </is>
      </c>
      <c r="E1" s="1" t="inlineStr">
        <is>
          <t>Change %</t>
        </is>
      </c>
      <c r="F1" s="1" t="inlineStr">
        <is>
          <t>Signal</t>
        </is>
      </c>
    </row>
    <row r="2">
      <c r="A2" t="inlineStr">
        <is>
          <t>Dividend Core</t>
        </is>
      </c>
      <c r="B2" t="inlineStr">
        <is>
          <t>SCHD</t>
        </is>
      </c>
      <c r="E2">
        <f>(C2-D2)/D2</f>
        <v/>
      </c>
      <c r="F2">
        <f>IF(E2&gt;0.15,"SELL 25%",IF(E2&lt;-0.10,"BUY","HOLD"))</f>
        <v/>
      </c>
    </row>
    <row r="3">
      <c r="A3" t="inlineStr">
        <is>
          <t>Semiconductors</t>
        </is>
      </c>
      <c r="B3" t="inlineStr">
        <is>
          <t>SMH</t>
        </is>
      </c>
      <c r="E3">
        <f>(C3-D3)/D3</f>
        <v/>
      </c>
      <c r="F3">
        <f>IF(E3&gt;0.15,"SELL 25%",IF(E3&lt;-0.10,"BUY","HOLD"))</f>
        <v/>
      </c>
    </row>
    <row r="4">
      <c r="A4" t="inlineStr">
        <is>
          <t>Energy</t>
        </is>
      </c>
      <c r="B4" t="inlineStr">
        <is>
          <t>XLE</t>
        </is>
      </c>
      <c r="E4">
        <f>(C4-D4)/D4</f>
        <v/>
      </c>
      <c r="F4">
        <f>IF(E4&gt;0.15,"SELL 25%",IF(E4&lt;-0.10,"BUY","HOLD"))</f>
        <v/>
      </c>
    </row>
    <row r="5">
      <c r="A5" t="inlineStr">
        <is>
          <t>Short Bonds</t>
        </is>
      </c>
      <c r="B5" t="inlineStr">
        <is>
          <t>SHY</t>
        </is>
      </c>
      <c r="E5">
        <f>(C5-D5)/D5</f>
        <v/>
      </c>
      <c r="F5">
        <f>IF(E5&gt;0.15,"SELL 25%",IF(E5&lt;-0.10,"BUY","HOLD"))</f>
        <v/>
      </c>
    </row>
    <row r="6">
      <c r="A6" t="inlineStr">
        <is>
          <t>Gold</t>
        </is>
      </c>
      <c r="B6" t="inlineStr">
        <is>
          <t>IAU</t>
        </is>
      </c>
      <c r="E6">
        <f>(C6-D6)/D6</f>
        <v/>
      </c>
      <c r="F6">
        <f>IF(E6&gt;0.15,"SELL 25%",IF(E6&lt;-0.10,"BUY","HOLD"))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2026-04-01T05:56:30Z</dcterms:created>
  <dcterms:modified xmlns:dcterms="http://purl.org/dc/terms/" xmlns:xsi="http://www.w3.org/2001/XMLSchema-instance" xsi:type="dcterms:W3CDTF">2026-04-01T05:56:30Z</dcterms:modified>
</cp:coreProperties>
</file>